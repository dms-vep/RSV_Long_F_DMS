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fh/fast/bloom_j/computational_notebooks/csimonich/2025/RSV_Neuts/RSV_DMS_Validation_Neuts/01_data/other/"/>
    </mc:Choice>
  </mc:AlternateContent>
  <xr:revisionPtr revIDLastSave="0" documentId="13_ncr:1_{FA4ACFB1-6462-1E40-9DC4-D90ECDF1CA36}" xr6:coauthVersionLast="47" xr6:coauthVersionMax="47" xr10:uidLastSave="{00000000-0000-0000-0000-000000000000}"/>
  <bookViews>
    <workbookView xWindow="1080" yWindow="1260" windowWidth="27640" windowHeight="16440" xr2:uid="{40607BDF-8E4B-A049-B341-FA4CC63CAD37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F49" i="1" s="1"/>
  <c r="E48" i="1"/>
  <c r="F48" i="1" s="1"/>
  <c r="E47" i="1"/>
  <c r="F47" i="1" s="1"/>
  <c r="E46" i="1"/>
  <c r="F46" i="1" s="1"/>
  <c r="F45" i="1"/>
  <c r="E45" i="1"/>
  <c r="E44" i="1"/>
  <c r="F44" i="1" s="1"/>
  <c r="E43" i="1"/>
  <c r="F43" i="1" s="1"/>
  <c r="E42" i="1"/>
  <c r="F42" i="1" s="1"/>
  <c r="F41" i="1"/>
  <c r="E41" i="1"/>
  <c r="E40" i="1"/>
  <c r="F40" i="1" s="1"/>
  <c r="E39" i="1"/>
  <c r="F39" i="1" s="1"/>
  <c r="E38" i="1"/>
  <c r="F38" i="1" s="1"/>
  <c r="F37" i="1"/>
  <c r="E37" i="1"/>
  <c r="E36" i="1"/>
  <c r="F36" i="1" s="1"/>
  <c r="E35" i="1"/>
  <c r="F35" i="1" s="1"/>
  <c r="E34" i="1"/>
  <c r="F34" i="1" s="1"/>
  <c r="F33" i="1"/>
  <c r="E33" i="1"/>
  <c r="E32" i="1"/>
  <c r="F32" i="1" s="1"/>
  <c r="E31" i="1"/>
  <c r="F31" i="1" s="1"/>
  <c r="E30" i="1"/>
  <c r="F30" i="1" s="1"/>
  <c r="F29" i="1"/>
  <c r="E29" i="1"/>
  <c r="E28" i="1"/>
  <c r="F28" i="1" s="1"/>
  <c r="E27" i="1"/>
  <c r="F27" i="1" s="1"/>
  <c r="E26" i="1"/>
  <c r="F26" i="1" s="1"/>
  <c r="F25" i="1"/>
  <c r="E25" i="1"/>
  <c r="E24" i="1"/>
  <c r="F24" i="1" s="1"/>
  <c r="E23" i="1"/>
  <c r="F23" i="1" s="1"/>
  <c r="E22" i="1"/>
  <c r="F22" i="1" s="1"/>
  <c r="F21" i="1"/>
  <c r="E21" i="1"/>
  <c r="E20" i="1"/>
  <c r="F20" i="1" s="1"/>
  <c r="E19" i="1"/>
  <c r="F19" i="1" s="1"/>
  <c r="E18" i="1"/>
  <c r="F18" i="1" s="1"/>
  <c r="F17" i="1"/>
  <c r="E17" i="1"/>
  <c r="E16" i="1"/>
  <c r="F16" i="1" s="1"/>
  <c r="E15" i="1"/>
  <c r="F15" i="1" s="1"/>
  <c r="E14" i="1"/>
  <c r="F14" i="1" s="1"/>
  <c r="F13" i="1"/>
  <c r="E13" i="1"/>
  <c r="E12" i="1"/>
  <c r="F12" i="1" s="1"/>
  <c r="E11" i="1"/>
  <c r="F11" i="1" s="1"/>
  <c r="E10" i="1"/>
  <c r="F10" i="1" s="1"/>
  <c r="F9" i="1"/>
  <c r="E9" i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<sst xmlns="http://schemas.openxmlformats.org/spreadsheetml/2006/main" count="271" uniqueCount="154">
  <si>
    <t>transfection #</t>
  </si>
  <si>
    <t>Well Location (plasmid)</t>
  </si>
  <si>
    <t>Name</t>
  </si>
  <si>
    <t>Nandrop</t>
  </si>
  <si>
    <t>transfection size ng F</t>
  </si>
  <si>
    <t>uL to add</t>
  </si>
  <si>
    <t>status</t>
  </si>
  <si>
    <t>background</t>
  </si>
  <si>
    <t>mutation</t>
  </si>
  <si>
    <t>A1</t>
  </si>
  <si>
    <t>RSV_B_F_PP_002W1BG.1</t>
  </si>
  <si>
    <t>new_to_order</t>
  </si>
  <si>
    <t>B_PP_002W1BG.1</t>
  </si>
  <si>
    <t>G446E</t>
  </si>
  <si>
    <t>B1</t>
  </si>
  <si>
    <t>RSV_A_F_PP_001WGC0</t>
  </si>
  <si>
    <t>A_PP_001WGC0</t>
  </si>
  <si>
    <t>K445N</t>
  </si>
  <si>
    <t>C1</t>
  </si>
  <si>
    <t>RSV_A_F_PP_0046MV6.2</t>
  </si>
  <si>
    <t>A_PP_0046MV6.2</t>
  </si>
  <si>
    <t>D73N</t>
  </si>
  <si>
    <t>D1</t>
  </si>
  <si>
    <t>RSV_A_F_PP_001QYN9</t>
  </si>
  <si>
    <t>A_PP_001QYN9</t>
  </si>
  <si>
    <t>K68E</t>
  </si>
  <si>
    <t>E1</t>
  </si>
  <si>
    <t>RSV_B_F_PP_002WHEU</t>
  </si>
  <si>
    <t>B_PP_002WHEU</t>
  </si>
  <si>
    <t>K201I</t>
  </si>
  <si>
    <t>F1</t>
  </si>
  <si>
    <t>RSV_B_F_PP_002SUFP</t>
  </si>
  <si>
    <t>B_PP_002SUFP</t>
  </si>
  <si>
    <t>K201S</t>
  </si>
  <si>
    <t>G1</t>
  </si>
  <si>
    <t>RSV_A_F_PP_00463BT.1</t>
  </si>
  <si>
    <t>A_PP_00463BT.1</t>
  </si>
  <si>
    <t>L204S</t>
  </si>
  <si>
    <t>H1</t>
  </si>
  <si>
    <t>RSV_B_F_Spain/PP_0031EHE.2</t>
  </si>
  <si>
    <t>B_PP_0031EHE.2</t>
  </si>
  <si>
    <t>P205S</t>
  </si>
  <si>
    <t>A2</t>
  </si>
  <si>
    <t>RSV_B_F_PP_002WWH8.1</t>
  </si>
  <si>
    <t>B_PP_002WWH8.1</t>
  </si>
  <si>
    <t>N208D</t>
  </si>
  <si>
    <t>B2</t>
  </si>
  <si>
    <t>RSV_A_F_PP_002XVQT</t>
  </si>
  <si>
    <t>A_PP_002XVQT</t>
  </si>
  <si>
    <t>K209E</t>
  </si>
  <si>
    <t>C2</t>
  </si>
  <si>
    <t>RSV_A_F_PP_001Y2UB</t>
  </si>
  <si>
    <t>A_PP_001Y2UB</t>
  </si>
  <si>
    <t>S211R</t>
  </si>
  <si>
    <t>D2</t>
  </si>
  <si>
    <t>RSV_A_F_USA/PP_003W55P.1</t>
  </si>
  <si>
    <t>A_PP_003W55P.1</t>
  </si>
  <si>
    <t>K201E</t>
  </si>
  <si>
    <t>E2</t>
  </si>
  <si>
    <t>RSV_CO_B_F_2024</t>
  </si>
  <si>
    <t>B2024 F (CO)</t>
  </si>
  <si>
    <t>F2</t>
  </si>
  <si>
    <t>RSV_F_Long_V207E</t>
  </si>
  <si>
    <t>Long</t>
  </si>
  <si>
    <t>V207E</t>
  </si>
  <si>
    <t>G2</t>
  </si>
  <si>
    <t>RSV_F_Long_Q210T</t>
  </si>
  <si>
    <t>Q210T</t>
  </si>
  <si>
    <t>H2</t>
  </si>
  <si>
    <t>RSV_F_Long_S215K</t>
  </si>
  <si>
    <t>S215K</t>
  </si>
  <si>
    <t>A3</t>
  </si>
  <si>
    <t>RSV_F_Long_K209D</t>
  </si>
  <si>
    <t>K209D</t>
  </si>
  <si>
    <t>B3</t>
  </si>
  <si>
    <t>RSV_F_Long_D73N</t>
  </si>
  <si>
    <t>C3</t>
  </si>
  <si>
    <t>RSV_F_Long_P205S</t>
  </si>
  <si>
    <t>D3</t>
  </si>
  <si>
    <t>RSV_F_Long_S211R</t>
  </si>
  <si>
    <t>E3</t>
  </si>
  <si>
    <t>RSV_F_Long_R429M</t>
  </si>
  <si>
    <t>R429M</t>
  </si>
  <si>
    <t>F3</t>
  </si>
  <si>
    <t>RSV_F_Long_G446D</t>
  </si>
  <si>
    <t>G446D</t>
  </si>
  <si>
    <t>G3</t>
  </si>
  <si>
    <t>RSV_F_Long_S443P</t>
  </si>
  <si>
    <t>S443P</t>
  </si>
  <si>
    <t>H3</t>
  </si>
  <si>
    <t>RSV_F_Long_R429S</t>
  </si>
  <si>
    <t>R429S</t>
  </si>
  <si>
    <t>A4</t>
  </si>
  <si>
    <t>RSV_F_B1_V207E</t>
  </si>
  <si>
    <t>B4</t>
  </si>
  <si>
    <t>RSV_F_B1_Q210T</t>
  </si>
  <si>
    <t>C4</t>
  </si>
  <si>
    <t>RSV_F_B1_S215K</t>
  </si>
  <si>
    <t>D4</t>
  </si>
  <si>
    <t>RSV_F_B1_Q209D</t>
  </si>
  <si>
    <t>Q209D</t>
  </si>
  <si>
    <t>E4</t>
  </si>
  <si>
    <t>RSV_F_B1_D73N</t>
  </si>
  <si>
    <t>F4</t>
  </si>
  <si>
    <t>RSV_F_B1_P205S</t>
  </si>
  <si>
    <t>G4</t>
  </si>
  <si>
    <t>RSV_F_B1_S211R</t>
  </si>
  <si>
    <t>H4</t>
  </si>
  <si>
    <t>RSV_F_B1_R429M</t>
  </si>
  <si>
    <t>A5</t>
  </si>
  <si>
    <t>RSV_F_B1_G446D</t>
  </si>
  <si>
    <t>B5</t>
  </si>
  <si>
    <t>RSV_F_B1_S443P</t>
  </si>
  <si>
    <t>C5</t>
  </si>
  <si>
    <t>RSV_F_B1_R429S</t>
  </si>
  <si>
    <t>D5</t>
  </si>
  <si>
    <t>RSV_F_B1_T67N</t>
  </si>
  <si>
    <t>T67N</t>
  </si>
  <si>
    <t>E5</t>
  </si>
  <si>
    <t>RSV_F_B1_Q209K</t>
  </si>
  <si>
    <t>Q209K</t>
  </si>
  <si>
    <t>F5</t>
  </si>
  <si>
    <t>RSV_F_Long_N67T</t>
  </si>
  <si>
    <t>N67T</t>
  </si>
  <si>
    <t>G5</t>
  </si>
  <si>
    <t>RSV_F_Long_K209Q</t>
  </si>
  <si>
    <t>K209Q</t>
  </si>
  <si>
    <t>past validations</t>
  </si>
  <si>
    <t>Long GS4</t>
  </si>
  <si>
    <t>existing_will_produce</t>
  </si>
  <si>
    <t>WT</t>
  </si>
  <si>
    <t>old</t>
  </si>
  <si>
    <t xml:space="preserve">Long GA1 </t>
  </si>
  <si>
    <t>foundry</t>
  </si>
  <si>
    <t>A_PP_001Y62S.1</t>
  </si>
  <si>
    <t>A_PP_001ZQ7W</t>
  </si>
  <si>
    <t>B_MN365362</t>
  </si>
  <si>
    <t>K68Q</t>
  </si>
  <si>
    <t>B_OQ279862</t>
  </si>
  <si>
    <t>N201T</t>
  </si>
  <si>
    <t>B_OR795252</t>
  </si>
  <si>
    <t>N201S</t>
  </si>
  <si>
    <t>A2020 F (4805)</t>
  </si>
  <si>
    <t>A2020 F</t>
  </si>
  <si>
    <t>RSV_F_Long_K68Q</t>
  </si>
  <si>
    <t>RSV_F_Long_K201S</t>
  </si>
  <si>
    <t>RSV_F_Long_K201T</t>
  </si>
  <si>
    <t>RSV_F_Long_K68N</t>
  </si>
  <si>
    <t>RSV_F_B1_K68Q</t>
  </si>
  <si>
    <t>RSV_F_B1_N201S</t>
  </si>
  <si>
    <t>RSV_F_B1_N201T</t>
  </si>
  <si>
    <t>RSV_F_B1_K68N</t>
  </si>
  <si>
    <t>K68N</t>
  </si>
  <si>
    <t>K201T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</si>
</sst>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CEE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AF39-C5C5-434F-B966-4DA74494F561}">
  <dimension ref="A1:I57"/>
  <sheetViews>
    <sheetView tabSelected="1" workbookViewId="0">
      <selection activeCell="I58" sqref="I58"/>
    </sheetView>
  </sheetViews>
  <sheetFormatPr baseColWidth="10" defaultRowHeight="16" x14ac:dyDescent="0.2"/>
  <cols>
    <col min="3" max="3" width="26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1" t="s">
        <v>9</v>
      </c>
      <c r="C2" s="2" t="s">
        <v>10</v>
      </c>
      <c r="D2" s="1">
        <v>119.3</v>
      </c>
      <c r="E2" s="2">
        <f>12*100</f>
        <v>1200</v>
      </c>
      <c r="F2" s="3">
        <f>E2/D2</f>
        <v>10.058675607711651</v>
      </c>
      <c r="G2" s="1" t="s">
        <v>11</v>
      </c>
      <c r="H2" s="1" t="s">
        <v>12</v>
      </c>
      <c r="I2" s="1" t="s">
        <v>13</v>
      </c>
    </row>
    <row r="3" spans="1:9" x14ac:dyDescent="0.2">
      <c r="A3" s="1">
        <v>2</v>
      </c>
      <c r="B3" s="1" t="s">
        <v>14</v>
      </c>
      <c r="C3" s="2" t="s">
        <v>15</v>
      </c>
      <c r="D3" s="1">
        <v>132.6</v>
      </c>
      <c r="E3" s="2">
        <f t="shared" ref="E3:E14" si="0">12*100</f>
        <v>1200</v>
      </c>
      <c r="F3" s="3">
        <f t="shared" ref="F3:F49" si="1">E3/D3</f>
        <v>9.0497737556561084</v>
      </c>
      <c r="G3" s="1" t="s">
        <v>11</v>
      </c>
      <c r="H3" s="1" t="s">
        <v>16</v>
      </c>
      <c r="I3" s="1" t="s">
        <v>17</v>
      </c>
    </row>
    <row r="4" spans="1:9" x14ac:dyDescent="0.2">
      <c r="A4" s="1">
        <v>3</v>
      </c>
      <c r="B4" s="1" t="s">
        <v>18</v>
      </c>
      <c r="C4" s="2" t="s">
        <v>19</v>
      </c>
      <c r="D4" s="1">
        <v>112.9</v>
      </c>
      <c r="E4" s="2">
        <f t="shared" si="0"/>
        <v>1200</v>
      </c>
      <c r="F4" s="3">
        <f t="shared" si="1"/>
        <v>10.628875110717448</v>
      </c>
      <c r="G4" s="1" t="s">
        <v>11</v>
      </c>
      <c r="H4" s="1" t="s">
        <v>20</v>
      </c>
      <c r="I4" s="1" t="s">
        <v>21</v>
      </c>
    </row>
    <row r="5" spans="1:9" x14ac:dyDescent="0.2">
      <c r="A5" s="1">
        <v>4</v>
      </c>
      <c r="B5" s="1" t="s">
        <v>22</v>
      </c>
      <c r="C5" s="2" t="s">
        <v>23</v>
      </c>
      <c r="D5" s="1">
        <v>136.80000000000001</v>
      </c>
      <c r="E5" s="2">
        <f t="shared" si="0"/>
        <v>1200</v>
      </c>
      <c r="F5" s="3">
        <f t="shared" si="1"/>
        <v>8.7719298245614024</v>
      </c>
      <c r="G5" s="1" t="s">
        <v>11</v>
      </c>
      <c r="H5" s="1" t="s">
        <v>24</v>
      </c>
      <c r="I5" s="1" t="s">
        <v>25</v>
      </c>
    </row>
    <row r="6" spans="1:9" x14ac:dyDescent="0.2">
      <c r="A6" s="1">
        <v>5</v>
      </c>
      <c r="B6" s="1" t="s">
        <v>26</v>
      </c>
      <c r="C6" s="2" t="s">
        <v>27</v>
      </c>
      <c r="D6" s="1">
        <v>124.5</v>
      </c>
      <c r="E6" s="2">
        <f t="shared" si="0"/>
        <v>1200</v>
      </c>
      <c r="F6" s="3">
        <f t="shared" si="1"/>
        <v>9.6385542168674707</v>
      </c>
      <c r="G6" s="1" t="s">
        <v>11</v>
      </c>
      <c r="H6" s="1" t="s">
        <v>28</v>
      </c>
      <c r="I6" s="1" t="s">
        <v>29</v>
      </c>
    </row>
    <row r="7" spans="1:9" x14ac:dyDescent="0.2">
      <c r="A7" s="1">
        <v>6</v>
      </c>
      <c r="B7" s="1" t="s">
        <v>30</v>
      </c>
      <c r="C7" s="2" t="s">
        <v>31</v>
      </c>
      <c r="D7" s="1">
        <v>117</v>
      </c>
      <c r="E7" s="2">
        <f t="shared" si="0"/>
        <v>1200</v>
      </c>
      <c r="F7" s="3">
        <f t="shared" si="1"/>
        <v>10.256410256410257</v>
      </c>
      <c r="G7" s="1" t="s">
        <v>11</v>
      </c>
      <c r="H7" s="1" t="s">
        <v>32</v>
      </c>
      <c r="I7" s="1" t="s">
        <v>33</v>
      </c>
    </row>
    <row r="8" spans="1:9" x14ac:dyDescent="0.2">
      <c r="A8" s="1">
        <v>7</v>
      </c>
      <c r="B8" s="1" t="s">
        <v>34</v>
      </c>
      <c r="C8" s="2" t="s">
        <v>35</v>
      </c>
      <c r="D8" s="1">
        <v>121.3</v>
      </c>
      <c r="E8" s="2">
        <f t="shared" si="0"/>
        <v>1200</v>
      </c>
      <c r="F8" s="3">
        <f t="shared" si="1"/>
        <v>9.8928276999175608</v>
      </c>
      <c r="G8" s="1" t="s">
        <v>11</v>
      </c>
      <c r="H8" s="1" t="s">
        <v>36</v>
      </c>
      <c r="I8" s="1" t="s">
        <v>37</v>
      </c>
    </row>
    <row r="9" spans="1:9" x14ac:dyDescent="0.2">
      <c r="A9" s="1">
        <v>8</v>
      </c>
      <c r="B9" s="1" t="s">
        <v>38</v>
      </c>
      <c r="C9" s="2" t="s">
        <v>39</v>
      </c>
      <c r="D9" s="1">
        <v>117.8</v>
      </c>
      <c r="E9" s="2">
        <f t="shared" si="0"/>
        <v>1200</v>
      </c>
      <c r="F9" s="3">
        <f t="shared" si="1"/>
        <v>10.186757215619695</v>
      </c>
      <c r="G9" s="1" t="s">
        <v>11</v>
      </c>
      <c r="H9" s="1" t="s">
        <v>40</v>
      </c>
      <c r="I9" s="1" t="s">
        <v>41</v>
      </c>
    </row>
    <row r="10" spans="1:9" x14ac:dyDescent="0.2">
      <c r="A10" s="1">
        <v>9</v>
      </c>
      <c r="B10" s="1" t="s">
        <v>42</v>
      </c>
      <c r="C10" s="2" t="s">
        <v>43</v>
      </c>
      <c r="D10" s="1">
        <v>111.8</v>
      </c>
      <c r="E10" s="2">
        <f t="shared" si="0"/>
        <v>1200</v>
      </c>
      <c r="F10" s="3">
        <f t="shared" si="1"/>
        <v>10.733452593917711</v>
      </c>
      <c r="G10" s="1" t="s">
        <v>11</v>
      </c>
      <c r="H10" s="1" t="s">
        <v>44</v>
      </c>
      <c r="I10" s="1" t="s">
        <v>45</v>
      </c>
    </row>
    <row r="11" spans="1:9" x14ac:dyDescent="0.2">
      <c r="A11" s="1">
        <v>10</v>
      </c>
      <c r="B11" s="1" t="s">
        <v>46</v>
      </c>
      <c r="C11" s="2" t="s">
        <v>47</v>
      </c>
      <c r="D11" s="1">
        <v>122.7</v>
      </c>
      <c r="E11" s="2">
        <f t="shared" si="0"/>
        <v>1200</v>
      </c>
      <c r="F11" s="3">
        <f t="shared" si="1"/>
        <v>9.7799511002444994</v>
      </c>
      <c r="G11" s="1" t="s">
        <v>11</v>
      </c>
      <c r="H11" s="1" t="s">
        <v>48</v>
      </c>
      <c r="I11" s="1" t="s">
        <v>49</v>
      </c>
    </row>
    <row r="12" spans="1:9" x14ac:dyDescent="0.2">
      <c r="A12" s="1">
        <v>11</v>
      </c>
      <c r="B12" s="1" t="s">
        <v>50</v>
      </c>
      <c r="C12" s="2" t="s">
        <v>51</v>
      </c>
      <c r="D12" s="1">
        <v>111.5</v>
      </c>
      <c r="E12" s="2">
        <f t="shared" si="0"/>
        <v>1200</v>
      </c>
      <c r="F12" s="3">
        <f t="shared" si="1"/>
        <v>10.762331838565023</v>
      </c>
      <c r="G12" s="1" t="s">
        <v>11</v>
      </c>
      <c r="H12" s="1" t="s">
        <v>52</v>
      </c>
      <c r="I12" s="1" t="s">
        <v>53</v>
      </c>
    </row>
    <row r="13" spans="1:9" x14ac:dyDescent="0.2">
      <c r="A13" s="1">
        <v>12</v>
      </c>
      <c r="B13" s="1" t="s">
        <v>54</v>
      </c>
      <c r="C13" s="2" t="s">
        <v>55</v>
      </c>
      <c r="D13" s="1">
        <v>119</v>
      </c>
      <c r="E13" s="2">
        <f t="shared" si="0"/>
        <v>1200</v>
      </c>
      <c r="F13" s="3">
        <f t="shared" si="1"/>
        <v>10.084033613445378</v>
      </c>
      <c r="G13" s="1" t="s">
        <v>11</v>
      </c>
      <c r="H13" s="1" t="s">
        <v>56</v>
      </c>
      <c r="I13" s="1" t="s">
        <v>57</v>
      </c>
    </row>
    <row r="14" spans="1:9" x14ac:dyDescent="0.2">
      <c r="A14" s="1">
        <v>13</v>
      </c>
      <c r="B14" s="1" t="s">
        <v>58</v>
      </c>
      <c r="C14" s="2" t="s">
        <v>59</v>
      </c>
      <c r="D14" s="1">
        <v>128.80000000000001</v>
      </c>
      <c r="E14" s="2">
        <f t="shared" si="0"/>
        <v>1200</v>
      </c>
      <c r="F14" s="3">
        <f t="shared" si="1"/>
        <v>9.3167701863354022</v>
      </c>
      <c r="G14" s="1" t="s">
        <v>11</v>
      </c>
      <c r="H14" s="1" t="s">
        <v>60</v>
      </c>
      <c r="I14" s="1"/>
    </row>
    <row r="15" spans="1:9" x14ac:dyDescent="0.2">
      <c r="A15" s="1">
        <v>14</v>
      </c>
      <c r="B15" s="1" t="s">
        <v>61</v>
      </c>
      <c r="C15" s="4" t="s">
        <v>62</v>
      </c>
      <c r="D15" s="1">
        <v>110.8</v>
      </c>
      <c r="E15" s="5">
        <f>2*100</f>
        <v>200</v>
      </c>
      <c r="F15" s="3">
        <f t="shared" si="1"/>
        <v>1.8050541516245489</v>
      </c>
      <c r="G15" s="1" t="s">
        <v>11</v>
      </c>
      <c r="H15" s="1" t="s">
        <v>63</v>
      </c>
      <c r="I15" s="1" t="s">
        <v>64</v>
      </c>
    </row>
    <row r="16" spans="1:9" x14ac:dyDescent="0.2">
      <c r="A16" s="1">
        <v>15</v>
      </c>
      <c r="B16" s="1" t="s">
        <v>65</v>
      </c>
      <c r="C16" s="4" t="s">
        <v>66</v>
      </c>
      <c r="D16" s="6">
        <v>125.9</v>
      </c>
      <c r="E16" s="5">
        <f t="shared" ref="E16:E43" si="2">2*100</f>
        <v>200</v>
      </c>
      <c r="F16" s="3">
        <f t="shared" si="1"/>
        <v>1.5885623510722795</v>
      </c>
      <c r="G16" s="1" t="s">
        <v>11</v>
      </c>
      <c r="H16" s="1" t="s">
        <v>63</v>
      </c>
      <c r="I16" s="1" t="s">
        <v>67</v>
      </c>
    </row>
    <row r="17" spans="1:9" x14ac:dyDescent="0.2">
      <c r="A17" s="1">
        <v>16</v>
      </c>
      <c r="B17" s="1" t="s">
        <v>68</v>
      </c>
      <c r="C17" s="4" t="s">
        <v>69</v>
      </c>
      <c r="D17" s="6">
        <v>124</v>
      </c>
      <c r="E17" s="5">
        <f t="shared" si="2"/>
        <v>200</v>
      </c>
      <c r="F17" s="3">
        <f t="shared" si="1"/>
        <v>1.6129032258064515</v>
      </c>
      <c r="G17" s="1" t="s">
        <v>11</v>
      </c>
      <c r="H17" s="1" t="s">
        <v>63</v>
      </c>
      <c r="I17" s="1" t="s">
        <v>70</v>
      </c>
    </row>
    <row r="18" spans="1:9" x14ac:dyDescent="0.2">
      <c r="A18" s="1">
        <v>17</v>
      </c>
      <c r="B18" s="1" t="s">
        <v>71</v>
      </c>
      <c r="C18" s="4" t="s">
        <v>72</v>
      </c>
      <c r="D18" s="6">
        <v>129.80000000000001</v>
      </c>
      <c r="E18" s="5">
        <f t="shared" si="2"/>
        <v>200</v>
      </c>
      <c r="F18" s="3">
        <f t="shared" si="1"/>
        <v>1.5408320493066254</v>
      </c>
      <c r="G18" s="1" t="s">
        <v>11</v>
      </c>
      <c r="H18" s="1" t="s">
        <v>63</v>
      </c>
      <c r="I18" s="1" t="s">
        <v>73</v>
      </c>
    </row>
    <row r="19" spans="1:9" x14ac:dyDescent="0.2">
      <c r="A19" s="1">
        <v>18</v>
      </c>
      <c r="B19" s="1" t="s">
        <v>74</v>
      </c>
      <c r="C19" s="4" t="s">
        <v>75</v>
      </c>
      <c r="D19" s="6">
        <v>113.3</v>
      </c>
      <c r="E19" s="5">
        <f t="shared" si="2"/>
        <v>200</v>
      </c>
      <c r="F19" s="3">
        <f t="shared" si="1"/>
        <v>1.7652250661959401</v>
      </c>
      <c r="G19" s="1" t="s">
        <v>11</v>
      </c>
      <c r="H19" s="1" t="s">
        <v>63</v>
      </c>
      <c r="I19" s="1" t="s">
        <v>21</v>
      </c>
    </row>
    <row r="20" spans="1:9" x14ac:dyDescent="0.2">
      <c r="A20" s="1">
        <v>19</v>
      </c>
      <c r="B20" s="1" t="s">
        <v>76</v>
      </c>
      <c r="C20" s="4" t="s">
        <v>77</v>
      </c>
      <c r="D20" s="6">
        <v>124.3</v>
      </c>
      <c r="E20" s="5">
        <f t="shared" si="2"/>
        <v>200</v>
      </c>
      <c r="F20" s="3">
        <f t="shared" si="1"/>
        <v>1.6090104585679808</v>
      </c>
      <c r="G20" s="1" t="s">
        <v>11</v>
      </c>
      <c r="H20" s="1" t="s">
        <v>63</v>
      </c>
      <c r="I20" s="1" t="s">
        <v>41</v>
      </c>
    </row>
    <row r="21" spans="1:9" x14ac:dyDescent="0.2">
      <c r="A21" s="1">
        <v>20</v>
      </c>
      <c r="B21" s="1" t="s">
        <v>78</v>
      </c>
      <c r="C21" s="4" t="s">
        <v>79</v>
      </c>
      <c r="D21" s="6">
        <v>126.5</v>
      </c>
      <c r="E21" s="5">
        <f t="shared" si="2"/>
        <v>200</v>
      </c>
      <c r="F21" s="3">
        <f t="shared" si="1"/>
        <v>1.5810276679841897</v>
      </c>
      <c r="G21" s="1" t="s">
        <v>11</v>
      </c>
      <c r="H21" s="1" t="s">
        <v>63</v>
      </c>
      <c r="I21" s="1" t="s">
        <v>53</v>
      </c>
    </row>
    <row r="22" spans="1:9" x14ac:dyDescent="0.2">
      <c r="A22" s="1">
        <v>21</v>
      </c>
      <c r="B22" s="1" t="s">
        <v>80</v>
      </c>
      <c r="C22" s="4" t="s">
        <v>81</v>
      </c>
      <c r="D22" s="6">
        <v>125</v>
      </c>
      <c r="E22" s="5">
        <f t="shared" si="2"/>
        <v>200</v>
      </c>
      <c r="F22" s="3">
        <f t="shared" si="1"/>
        <v>1.6</v>
      </c>
      <c r="G22" s="1" t="s">
        <v>11</v>
      </c>
      <c r="H22" s="1" t="s">
        <v>63</v>
      </c>
      <c r="I22" s="1" t="s">
        <v>82</v>
      </c>
    </row>
    <row r="23" spans="1:9" x14ac:dyDescent="0.2">
      <c r="A23" s="1">
        <v>22</v>
      </c>
      <c r="B23" s="1" t="s">
        <v>83</v>
      </c>
      <c r="C23" s="4" t="s">
        <v>84</v>
      </c>
      <c r="D23" s="6">
        <v>133</v>
      </c>
      <c r="E23" s="5">
        <f t="shared" si="2"/>
        <v>200</v>
      </c>
      <c r="F23" s="3">
        <f t="shared" si="1"/>
        <v>1.5037593984962405</v>
      </c>
      <c r="G23" s="1" t="s">
        <v>11</v>
      </c>
      <c r="H23" s="1" t="s">
        <v>63</v>
      </c>
      <c r="I23" s="1" t="s">
        <v>85</v>
      </c>
    </row>
    <row r="24" spans="1:9" x14ac:dyDescent="0.2">
      <c r="A24" s="1">
        <v>23</v>
      </c>
      <c r="B24" s="1" t="s">
        <v>86</v>
      </c>
      <c r="C24" s="4" t="s">
        <v>87</v>
      </c>
      <c r="D24" s="6">
        <v>128.5</v>
      </c>
      <c r="E24" s="5">
        <f t="shared" si="2"/>
        <v>200</v>
      </c>
      <c r="F24" s="3">
        <f t="shared" si="1"/>
        <v>1.556420233463035</v>
      </c>
      <c r="G24" s="1" t="s">
        <v>11</v>
      </c>
      <c r="H24" s="1" t="s">
        <v>63</v>
      </c>
      <c r="I24" s="1" t="s">
        <v>88</v>
      </c>
    </row>
    <row r="25" spans="1:9" x14ac:dyDescent="0.2">
      <c r="A25" s="1">
        <v>24</v>
      </c>
      <c r="B25" s="1" t="s">
        <v>89</v>
      </c>
      <c r="C25" s="4" t="s">
        <v>90</v>
      </c>
      <c r="D25" s="6">
        <v>121.8</v>
      </c>
      <c r="E25" s="5">
        <f t="shared" si="2"/>
        <v>200</v>
      </c>
      <c r="F25" s="3">
        <f t="shared" si="1"/>
        <v>1.6420361247947455</v>
      </c>
      <c r="G25" s="1" t="s">
        <v>11</v>
      </c>
      <c r="H25" s="1" t="s">
        <v>63</v>
      </c>
      <c r="I25" s="1" t="s">
        <v>91</v>
      </c>
    </row>
    <row r="26" spans="1:9" x14ac:dyDescent="0.2">
      <c r="A26" s="1">
        <v>25</v>
      </c>
      <c r="B26" s="1" t="s">
        <v>92</v>
      </c>
      <c r="C26" s="4" t="s">
        <v>93</v>
      </c>
      <c r="D26" s="6">
        <v>144.80000000000001</v>
      </c>
      <c r="E26" s="5">
        <f t="shared" si="2"/>
        <v>200</v>
      </c>
      <c r="F26" s="3">
        <f t="shared" si="1"/>
        <v>1.3812154696132595</v>
      </c>
      <c r="G26" s="1" t="s">
        <v>11</v>
      </c>
      <c r="H26" s="1" t="s">
        <v>14</v>
      </c>
      <c r="I26" s="1" t="s">
        <v>64</v>
      </c>
    </row>
    <row r="27" spans="1:9" x14ac:dyDescent="0.2">
      <c r="A27" s="1">
        <v>26</v>
      </c>
      <c r="B27" s="1" t="s">
        <v>94</v>
      </c>
      <c r="C27" s="4" t="s">
        <v>95</v>
      </c>
      <c r="D27" s="6">
        <v>132.9</v>
      </c>
      <c r="E27" s="5">
        <f t="shared" si="2"/>
        <v>200</v>
      </c>
      <c r="F27" s="3">
        <f t="shared" si="1"/>
        <v>1.5048908954100828</v>
      </c>
      <c r="G27" s="1" t="s">
        <v>11</v>
      </c>
      <c r="H27" s="1" t="s">
        <v>14</v>
      </c>
      <c r="I27" s="1" t="s">
        <v>67</v>
      </c>
    </row>
    <row r="28" spans="1:9" x14ac:dyDescent="0.2">
      <c r="A28" s="1">
        <v>27</v>
      </c>
      <c r="B28" s="1" t="s">
        <v>96</v>
      </c>
      <c r="C28" s="4" t="s">
        <v>97</v>
      </c>
      <c r="D28" s="6">
        <v>128.6</v>
      </c>
      <c r="E28" s="5">
        <f t="shared" si="2"/>
        <v>200</v>
      </c>
      <c r="F28" s="3">
        <f t="shared" si="1"/>
        <v>1.5552099533437014</v>
      </c>
      <c r="G28" s="1" t="s">
        <v>11</v>
      </c>
      <c r="H28" s="1" t="s">
        <v>14</v>
      </c>
      <c r="I28" s="1" t="s">
        <v>70</v>
      </c>
    </row>
    <row r="29" spans="1:9" x14ac:dyDescent="0.2">
      <c r="A29" s="1">
        <v>28</v>
      </c>
      <c r="B29" s="1" t="s">
        <v>98</v>
      </c>
      <c r="C29" s="4" t="s">
        <v>99</v>
      </c>
      <c r="D29" s="6">
        <v>125.4</v>
      </c>
      <c r="E29" s="5">
        <f t="shared" si="2"/>
        <v>200</v>
      </c>
      <c r="F29" s="3">
        <f t="shared" si="1"/>
        <v>1.594896331738437</v>
      </c>
      <c r="G29" s="1" t="s">
        <v>11</v>
      </c>
      <c r="H29" s="1" t="s">
        <v>14</v>
      </c>
      <c r="I29" s="1" t="s">
        <v>100</v>
      </c>
    </row>
    <row r="30" spans="1:9" x14ac:dyDescent="0.2">
      <c r="A30" s="1">
        <v>29</v>
      </c>
      <c r="B30" s="1" t="s">
        <v>101</v>
      </c>
      <c r="C30" s="4" t="s">
        <v>102</v>
      </c>
      <c r="D30" s="6">
        <v>120.6</v>
      </c>
      <c r="E30" s="5">
        <f t="shared" si="2"/>
        <v>200</v>
      </c>
      <c r="F30" s="3">
        <f t="shared" si="1"/>
        <v>1.6583747927031509</v>
      </c>
      <c r="G30" s="1" t="s">
        <v>11</v>
      </c>
      <c r="H30" s="1" t="s">
        <v>14</v>
      </c>
      <c r="I30" s="1" t="s">
        <v>21</v>
      </c>
    </row>
    <row r="31" spans="1:9" x14ac:dyDescent="0.2">
      <c r="A31" s="1">
        <v>30</v>
      </c>
      <c r="B31" s="1" t="s">
        <v>103</v>
      </c>
      <c r="C31" s="4" t="s">
        <v>104</v>
      </c>
      <c r="D31" s="6">
        <v>123.2</v>
      </c>
      <c r="E31" s="5">
        <f t="shared" si="2"/>
        <v>200</v>
      </c>
      <c r="F31" s="3">
        <f t="shared" si="1"/>
        <v>1.6233766233766234</v>
      </c>
      <c r="G31" s="1" t="s">
        <v>11</v>
      </c>
      <c r="H31" s="1" t="s">
        <v>14</v>
      </c>
      <c r="I31" s="1" t="s">
        <v>41</v>
      </c>
    </row>
    <row r="32" spans="1:9" x14ac:dyDescent="0.2">
      <c r="A32" s="1">
        <v>31</v>
      </c>
      <c r="B32" s="1" t="s">
        <v>105</v>
      </c>
      <c r="C32" s="4" t="s">
        <v>106</v>
      </c>
      <c r="D32" s="6">
        <v>103.1</v>
      </c>
      <c r="E32" s="5">
        <f t="shared" si="2"/>
        <v>200</v>
      </c>
      <c r="F32" s="3">
        <f t="shared" si="1"/>
        <v>1.9398642095053347</v>
      </c>
      <c r="G32" s="1" t="s">
        <v>11</v>
      </c>
      <c r="H32" s="1" t="s">
        <v>14</v>
      </c>
      <c r="I32" s="1" t="s">
        <v>53</v>
      </c>
    </row>
    <row r="33" spans="1:9" x14ac:dyDescent="0.2">
      <c r="A33" s="1">
        <v>32</v>
      </c>
      <c r="B33" s="1" t="s">
        <v>107</v>
      </c>
      <c r="C33" s="4" t="s">
        <v>108</v>
      </c>
      <c r="D33" s="6">
        <v>138.80000000000001</v>
      </c>
      <c r="E33" s="5">
        <f t="shared" si="2"/>
        <v>200</v>
      </c>
      <c r="F33" s="3">
        <f t="shared" si="1"/>
        <v>1.4409221902017291</v>
      </c>
      <c r="G33" s="1" t="s">
        <v>11</v>
      </c>
      <c r="H33" s="1" t="s">
        <v>14</v>
      </c>
      <c r="I33" s="1" t="s">
        <v>82</v>
      </c>
    </row>
    <row r="34" spans="1:9" x14ac:dyDescent="0.2">
      <c r="A34" s="1">
        <v>33</v>
      </c>
      <c r="B34" s="1" t="s">
        <v>109</v>
      </c>
      <c r="C34" s="4" t="s">
        <v>110</v>
      </c>
      <c r="D34" s="6">
        <v>133.30000000000001</v>
      </c>
      <c r="E34" s="5">
        <f t="shared" si="2"/>
        <v>200</v>
      </c>
      <c r="F34" s="3">
        <f t="shared" si="1"/>
        <v>1.5003750937734432</v>
      </c>
      <c r="G34" s="1" t="s">
        <v>11</v>
      </c>
      <c r="H34" s="1" t="s">
        <v>14</v>
      </c>
      <c r="I34" s="1" t="s">
        <v>85</v>
      </c>
    </row>
    <row r="35" spans="1:9" x14ac:dyDescent="0.2">
      <c r="A35" s="1">
        <v>34</v>
      </c>
      <c r="B35" s="1" t="s">
        <v>111</v>
      </c>
      <c r="C35" s="4" t="s">
        <v>112</v>
      </c>
      <c r="D35" s="6">
        <v>115.8</v>
      </c>
      <c r="E35" s="5">
        <f t="shared" si="2"/>
        <v>200</v>
      </c>
      <c r="F35" s="3">
        <f t="shared" si="1"/>
        <v>1.7271157167530224</v>
      </c>
      <c r="G35" s="1" t="s">
        <v>11</v>
      </c>
      <c r="H35" s="1" t="s">
        <v>14</v>
      </c>
      <c r="I35" s="1" t="s">
        <v>88</v>
      </c>
    </row>
    <row r="36" spans="1:9" x14ac:dyDescent="0.2">
      <c r="A36" s="1">
        <v>35</v>
      </c>
      <c r="B36" s="1" t="s">
        <v>113</v>
      </c>
      <c r="C36" s="4" t="s">
        <v>114</v>
      </c>
      <c r="D36" s="6">
        <v>135.4</v>
      </c>
      <c r="E36" s="5">
        <f t="shared" si="2"/>
        <v>200</v>
      </c>
      <c r="F36" s="3">
        <f t="shared" si="1"/>
        <v>1.4771048744460855</v>
      </c>
      <c r="G36" s="1" t="s">
        <v>11</v>
      </c>
      <c r="H36" s="1" t="s">
        <v>14</v>
      </c>
      <c r="I36" s="1" t="s">
        <v>91</v>
      </c>
    </row>
    <row r="37" spans="1:9" x14ac:dyDescent="0.2">
      <c r="A37" s="1">
        <v>36</v>
      </c>
      <c r="B37" s="1" t="s">
        <v>115</v>
      </c>
      <c r="C37" s="4" t="s">
        <v>116</v>
      </c>
      <c r="D37" s="6">
        <v>125.3</v>
      </c>
      <c r="E37" s="5">
        <f t="shared" si="2"/>
        <v>200</v>
      </c>
      <c r="F37" s="3">
        <f t="shared" si="1"/>
        <v>1.596169193934557</v>
      </c>
      <c r="G37" s="1" t="s">
        <v>11</v>
      </c>
      <c r="H37" s="1" t="s">
        <v>14</v>
      </c>
      <c r="I37" s="1" t="s">
        <v>117</v>
      </c>
    </row>
    <row r="38" spans="1:9" x14ac:dyDescent="0.2">
      <c r="A38" s="1">
        <v>37</v>
      </c>
      <c r="B38" s="1" t="s">
        <v>118</v>
      </c>
      <c r="C38" s="4" t="s">
        <v>119</v>
      </c>
      <c r="D38" s="6">
        <v>113.9</v>
      </c>
      <c r="E38" s="5">
        <f t="shared" si="2"/>
        <v>200</v>
      </c>
      <c r="F38" s="3">
        <f t="shared" si="1"/>
        <v>1.7559262510974538</v>
      </c>
      <c r="G38" s="1" t="s">
        <v>11</v>
      </c>
      <c r="H38" s="1" t="s">
        <v>14</v>
      </c>
      <c r="I38" s="1" t="s">
        <v>120</v>
      </c>
    </row>
    <row r="39" spans="1:9" x14ac:dyDescent="0.2">
      <c r="A39" s="1">
        <v>38</v>
      </c>
      <c r="B39" s="1" t="s">
        <v>121</v>
      </c>
      <c r="C39" s="4" t="s">
        <v>122</v>
      </c>
      <c r="D39" s="6">
        <v>125.8</v>
      </c>
      <c r="E39" s="5">
        <f t="shared" si="2"/>
        <v>200</v>
      </c>
      <c r="F39" s="3">
        <f t="shared" si="1"/>
        <v>1.589825119236884</v>
      </c>
      <c r="G39" s="1" t="s">
        <v>11</v>
      </c>
      <c r="H39" s="1" t="s">
        <v>63</v>
      </c>
      <c r="I39" s="1" t="s">
        <v>123</v>
      </c>
    </row>
    <row r="40" spans="1:9" x14ac:dyDescent="0.2">
      <c r="A40" s="1">
        <v>39</v>
      </c>
      <c r="B40" s="1" t="s">
        <v>124</v>
      </c>
      <c r="C40" s="4" t="s">
        <v>125</v>
      </c>
      <c r="D40" s="6">
        <v>116.4</v>
      </c>
      <c r="E40" s="5">
        <f t="shared" si="2"/>
        <v>200</v>
      </c>
      <c r="F40" s="3">
        <f t="shared" si="1"/>
        <v>1.7182130584192439</v>
      </c>
      <c r="G40" s="1" t="s">
        <v>11</v>
      </c>
      <c r="H40" s="1" t="s">
        <v>63</v>
      </c>
      <c r="I40" s="1" t="s">
        <v>126</v>
      </c>
    </row>
    <row r="41" spans="1:9" x14ac:dyDescent="0.2">
      <c r="A41" s="1">
        <v>40</v>
      </c>
      <c r="B41" s="7" t="s">
        <v>127</v>
      </c>
      <c r="C41" s="4" t="s">
        <v>128</v>
      </c>
      <c r="D41" s="1">
        <v>137</v>
      </c>
      <c r="E41" s="5">
        <f t="shared" si="2"/>
        <v>200</v>
      </c>
      <c r="F41" s="3">
        <f t="shared" si="1"/>
        <v>1.4598540145985401</v>
      </c>
      <c r="G41" s="1" t="s">
        <v>129</v>
      </c>
      <c r="H41" s="1" t="s">
        <v>128</v>
      </c>
      <c r="I41" s="1" t="s">
        <v>130</v>
      </c>
    </row>
    <row r="42" spans="1:9" x14ac:dyDescent="0.2">
      <c r="A42" s="1">
        <v>41</v>
      </c>
      <c r="B42" s="7" t="s">
        <v>131</v>
      </c>
      <c r="C42" s="4" t="s">
        <v>132</v>
      </c>
      <c r="D42" s="1">
        <v>100</v>
      </c>
      <c r="E42" s="5">
        <f t="shared" si="2"/>
        <v>200</v>
      </c>
      <c r="F42" s="3">
        <f t="shared" si="1"/>
        <v>2</v>
      </c>
      <c r="G42" s="1" t="s">
        <v>129</v>
      </c>
      <c r="H42" s="1" t="s">
        <v>132</v>
      </c>
      <c r="I42" s="1" t="s">
        <v>130</v>
      </c>
    </row>
    <row r="43" spans="1:9" x14ac:dyDescent="0.2">
      <c r="A43" s="1">
        <v>42</v>
      </c>
      <c r="B43" s="7" t="s">
        <v>131</v>
      </c>
      <c r="C43" s="4" t="s">
        <v>14</v>
      </c>
      <c r="D43" s="1">
        <v>519</v>
      </c>
      <c r="E43" s="5">
        <f t="shared" si="2"/>
        <v>200</v>
      </c>
      <c r="F43" s="3">
        <f>E43/D43</f>
        <v>0.38535645472061658</v>
      </c>
      <c r="G43" s="1" t="s">
        <v>129</v>
      </c>
      <c r="H43" s="1" t="s">
        <v>14</v>
      </c>
      <c r="I43" s="1" t="s">
        <v>130</v>
      </c>
    </row>
    <row r="44" spans="1:9" x14ac:dyDescent="0.2">
      <c r="A44" s="1">
        <v>43</v>
      </c>
      <c r="B44" s="7" t="s">
        <v>133</v>
      </c>
      <c r="C44" s="2" t="s">
        <v>134</v>
      </c>
      <c r="D44" s="1">
        <v>137.1</v>
      </c>
      <c r="E44" s="2">
        <f t="shared" ref="E44:E49" si="3">12*100</f>
        <v>1200</v>
      </c>
      <c r="F44" s="3">
        <f t="shared" si="1"/>
        <v>8.7527352297593009</v>
      </c>
      <c r="G44" s="1" t="s">
        <v>129</v>
      </c>
      <c r="H44" s="1" t="s">
        <v>134</v>
      </c>
      <c r="I44" s="1" t="s">
        <v>88</v>
      </c>
    </row>
    <row r="45" spans="1:9" x14ac:dyDescent="0.2">
      <c r="A45" s="1">
        <v>44</v>
      </c>
      <c r="B45" s="7" t="s">
        <v>133</v>
      </c>
      <c r="C45" s="2" t="s">
        <v>135</v>
      </c>
      <c r="D45" s="1">
        <v>115</v>
      </c>
      <c r="E45" s="2">
        <f t="shared" si="3"/>
        <v>1200</v>
      </c>
      <c r="F45" s="3">
        <f t="shared" si="1"/>
        <v>10.434782608695652</v>
      </c>
      <c r="G45" s="1" t="s">
        <v>129</v>
      </c>
      <c r="H45" s="1" t="s">
        <v>135</v>
      </c>
      <c r="I45" s="1" t="s">
        <v>91</v>
      </c>
    </row>
    <row r="46" spans="1:9" x14ac:dyDescent="0.2">
      <c r="A46" s="1">
        <v>45</v>
      </c>
      <c r="B46" s="7" t="s">
        <v>133</v>
      </c>
      <c r="C46" s="2" t="s">
        <v>136</v>
      </c>
      <c r="D46" s="1">
        <v>101.4</v>
      </c>
      <c r="E46" s="2">
        <f t="shared" si="3"/>
        <v>1200</v>
      </c>
      <c r="F46" s="3">
        <f t="shared" si="1"/>
        <v>11.834319526627219</v>
      </c>
      <c r="G46" s="1" t="s">
        <v>129</v>
      </c>
      <c r="H46" s="1" t="s">
        <v>136</v>
      </c>
      <c r="I46" s="1" t="s">
        <v>137</v>
      </c>
    </row>
    <row r="47" spans="1:9" x14ac:dyDescent="0.2">
      <c r="A47" s="1">
        <v>46</v>
      </c>
      <c r="B47" s="7" t="s">
        <v>133</v>
      </c>
      <c r="C47" s="2" t="s">
        <v>138</v>
      </c>
      <c r="D47" s="1">
        <v>129.5</v>
      </c>
      <c r="E47" s="2">
        <f t="shared" si="3"/>
        <v>1200</v>
      </c>
      <c r="F47" s="3">
        <f t="shared" si="1"/>
        <v>9.2664092664092657</v>
      </c>
      <c r="G47" s="1" t="s">
        <v>129</v>
      </c>
      <c r="H47" s="1" t="s">
        <v>138</v>
      </c>
      <c r="I47" s="1" t="s">
        <v>139</v>
      </c>
    </row>
    <row r="48" spans="1:9" x14ac:dyDescent="0.2">
      <c r="A48" s="1">
        <v>47</v>
      </c>
      <c r="B48" s="7" t="s">
        <v>133</v>
      </c>
      <c r="C48" s="2" t="s">
        <v>140</v>
      </c>
      <c r="D48" s="1">
        <v>92.9</v>
      </c>
      <c r="E48" s="2">
        <f t="shared" si="3"/>
        <v>1200</v>
      </c>
      <c r="F48" s="3">
        <f t="shared" si="1"/>
        <v>12.917115177610333</v>
      </c>
      <c r="G48" s="1" t="s">
        <v>129</v>
      </c>
      <c r="H48" s="1" t="s">
        <v>140</v>
      </c>
      <c r="I48" s="1" t="s">
        <v>141</v>
      </c>
    </row>
    <row r="49" spans="1:9" x14ac:dyDescent="0.2">
      <c r="A49" s="1">
        <v>48</v>
      </c>
      <c r="B49" s="7" t="s">
        <v>131</v>
      </c>
      <c r="C49" s="2" t="s">
        <v>142</v>
      </c>
      <c r="D49" s="1">
        <v>674</v>
      </c>
      <c r="E49" s="2">
        <f t="shared" si="3"/>
        <v>1200</v>
      </c>
      <c r="F49" s="3">
        <f t="shared" si="1"/>
        <v>1.7804154302670623</v>
      </c>
      <c r="G49" s="1" t="s">
        <v>129</v>
      </c>
      <c r="H49" s="1" t="s">
        <v>143</v>
      </c>
      <c r="I49" s="1"/>
    </row>
    <row r="50" spans="1:9" x14ac:dyDescent="0.2">
      <c r="C50" s="8" t="s">
        <v>144</v>
      </c>
      <c r="H50" s="10" t="s">
        <v>63</v>
      </c>
      <c r="I50" s="10" t="s">
        <v>137</v>
      </c>
    </row>
    <row r="51" spans="1:9" x14ac:dyDescent="0.2">
      <c r="C51" s="8" t="s">
        <v>147</v>
      </c>
      <c r="H51" s="10" t="s">
        <v>63</v>
      </c>
      <c r="I51" s="10" t="s">
        <v>152</v>
      </c>
    </row>
    <row r="52" spans="1:9" x14ac:dyDescent="0.2">
      <c r="C52" s="9" t="s">
        <v>145</v>
      </c>
      <c r="H52" s="10" t="s">
        <v>63</v>
      </c>
      <c r="I52" s="10" t="s">
        <v>33</v>
      </c>
    </row>
    <row r="53" spans="1:9" x14ac:dyDescent="0.2">
      <c r="C53" s="9" t="s">
        <v>146</v>
      </c>
      <c r="H53" s="10" t="s">
        <v>63</v>
      </c>
      <c r="I53" s="10" t="s">
        <v>153</v>
      </c>
    </row>
    <row r="54" spans="1:9" x14ac:dyDescent="0.2">
      <c r="C54" s="8" t="s">
        <v>148</v>
      </c>
      <c r="H54" s="10" t="s">
        <v>14</v>
      </c>
      <c r="I54" s="10" t="s">
        <v>137</v>
      </c>
    </row>
    <row r="55" spans="1:9" x14ac:dyDescent="0.2">
      <c r="C55" s="8" t="s">
        <v>151</v>
      </c>
      <c r="H55" s="10" t="s">
        <v>14</v>
      </c>
      <c r="I55" s="10" t="s">
        <v>152</v>
      </c>
    </row>
    <row r="56" spans="1:9" x14ac:dyDescent="0.2">
      <c r="C56" s="8" t="s">
        <v>149</v>
      </c>
      <c r="H56" s="10" t="s">
        <v>14</v>
      </c>
      <c r="I56" s="10" t="s">
        <v>141</v>
      </c>
    </row>
    <row r="57" spans="1:9" x14ac:dyDescent="0.2">
      <c r="C57" s="8" t="s">
        <v>150</v>
      </c>
      <c r="H57" s="10" t="s">
        <v>14</v>
      </c>
      <c r="I57" s="10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McMahon, Teagan</dc:creator>
  <cp:lastModifiedBy>Cassandra Simonich</cp:lastModifiedBy>
  <dcterms:created xsi:type="dcterms:W3CDTF">2025-12-12T04:03:25Z</dcterms:created>
  <dcterms:modified xsi:type="dcterms:W3CDTF">2026-01-28T01:08:08Z</dcterms:modified>
</cp:coreProperties>
</file>